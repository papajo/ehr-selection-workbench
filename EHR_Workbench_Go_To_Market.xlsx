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sitioning" sheetId="1" state="visible" r:id="rId3"/>
    <sheet name="Targets" sheetId="2" state="visible" r:id="rId4"/>
    <sheet name="Monetization" sheetId="3" state="visible" r:id="rId5"/>
    <sheet name="30-Day Plan" sheetId="4" state="visible" r:id="rId6"/>
    <sheet name="Sourc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6" authorId="0">
      <text>
        <r>
          <rPr>
            <sz val="10"/>
            <rFont val="Arial"/>
            <family val="2"/>
          </rPr>
          <t xml:space="preserve">Anchor: one firm cites $15k–$40k for change-management consulting alone (CapMinds). Source in Sources tab.</t>
        </r>
      </text>
    </comment>
    <comment ref="D8" authorId="0">
      <text>
        <r>
          <rPr>
            <sz val="10"/>
            <rFont val="Arial"/>
            <family val="2"/>
          </rPr>
          <t xml:space="preserve">Revenue share or referral fee with a partner attorney — set your own terms.</t>
        </r>
      </text>
    </comment>
  </commentList>
</comments>
</file>

<file path=xl/sharedStrings.xml><?xml version="1.0" encoding="utf-8"?>
<sst xmlns="http://schemas.openxmlformats.org/spreadsheetml/2006/main" count="109" uniqueCount="101">
  <si>
    <t xml:space="preserve">EHR Selection Workbench — positioning</t>
  </si>
  <si>
    <t xml:space="preserve">Item</t>
  </si>
  <si>
    <t xml:space="preserve">Detail</t>
  </si>
  <si>
    <t xml:space="preserve">One-liner</t>
  </si>
  <si>
    <t xml:space="preserve">Pick your next EHR on evidence, not vendor claims, and know the 7-year cost before you sign.</t>
  </si>
  <si>
    <t xml:space="preserve">Core USP</t>
  </si>
  <si>
    <t xml:space="preserve">Buyer-side and transparent: no vendor money, and every score shows how it was reached.</t>
  </si>
  <si>
    <t xml:space="preserve">Differentiator: evidence-weighted scores</t>
  </si>
  <si>
    <t xml:space="preserve">A feature seen in a demo counts for more than one the vendor only claimed; output is a win probability, not a star rating.</t>
  </si>
  <si>
    <t xml:space="preserve">Differentiator: true cost</t>
  </si>
  <si>
    <t xml:space="preserve">7-year total including revenue lost during go-live, annual price increases and exit fees.</t>
  </si>
  <si>
    <t xml:space="preserve">Differentiator: checks review sites don't run</t>
  </si>
  <si>
    <t xml:space="preserve">Fee-schedule mismatches, staff-time payback, CHPL and data-export checks.</t>
  </si>
  <si>
    <t xml:space="preserve">Differentiator: leverage</t>
  </si>
  <si>
    <t xml:space="preserve">Produces the demo script and the contract checklist, not just a ranking.</t>
  </si>
  <si>
    <t xml:space="preserve">Competitive contrast</t>
  </si>
  <si>
    <t xml:space="preserve">Capterra / Software Advice are vendor-funded (pay per click or per qualified lead; advisors match buyers to ~5 paying vendors).</t>
  </si>
  <si>
    <t xml:space="preserve">Guardrail</t>
  </si>
  <si>
    <t xml:space="preserve">Never take vendor referral fees — it would destroy the USP.</t>
  </si>
  <si>
    <t xml:space="preserve">Target segments</t>
  </si>
  <si>
    <t xml:space="preserve">Priority</t>
  </si>
  <si>
    <t xml:space="preserve">Segment</t>
  </si>
  <si>
    <t xml:space="preserve">Who buys / decides</t>
  </si>
  <si>
    <t xml:space="preserve">Why now (triggers)</t>
  </si>
  <si>
    <t xml:space="preserve">Approach</t>
  </si>
  <si>
    <t xml:space="preserve">1 – Primary</t>
  </si>
  <si>
    <t xml:space="preserve">Independent practices, 1–10 providers, switching EHR</t>
  </si>
  <si>
    <t xml:space="preserve">Practice manager / administrator buys; managing physician signs</t>
  </si>
  <si>
    <t xml:space="preserve">Vendor price hike or product sunset, acquisition, lost certification, contract end</t>
  </si>
  <si>
    <t xml:space="preserve">Free tool → Pro tier → done-with-you service</t>
  </si>
  <si>
    <t xml:space="preserve">2 – Channel</t>
  </si>
  <si>
    <t xml:space="preserve">Practice-management consultants, MSOs/IPAs, medical CPAs, healthcare attorneys</t>
  </si>
  <si>
    <t xml:space="preserve">Firm principal</t>
  </si>
  <si>
    <t xml:space="preserve">Run selections repeatedly for clients</t>
  </si>
  <si>
    <t xml:space="preserve">White-label license</t>
  </si>
  <si>
    <t xml:space="preserve">3 – Channel</t>
  </si>
  <si>
    <t xml:space="preserve">Specialty societies, state medical associations</t>
  </si>
  <si>
    <t xml:space="preserve">Member-benefits / practice-support lead</t>
  </si>
  <si>
    <t xml:space="preserve">Members ask for selection help; AAFP has precedent</t>
  </si>
  <si>
    <t xml:space="preserve">Member-benefit license or co-branded edition</t>
  </si>
  <si>
    <t xml:space="preserve">Skip</t>
  </si>
  <si>
    <t xml:space="preserve">Hospitals and health systems</t>
  </si>
  <si>
    <t xml:space="preserve">—</t>
  </si>
  <si>
    <t xml:space="preserve">Long sales cycles; KLAS and Big-4 firms own this market</t>
  </si>
  <si>
    <t xml:space="preserve">Do not pursue</t>
  </si>
  <si>
    <t xml:space="preserve">Monetization ladder — prices are hypotheses to test, not market data</t>
  </si>
  <si>
    <t xml:space="preserve">Edit yellow cells (blue text). Black cells are formulas. Unit counts are illustrative placeholders, not a forecast.</t>
  </si>
  <si>
    <t xml:space="preserve">Tier</t>
  </si>
  <si>
    <t xml:space="preserve">What they get</t>
  </si>
  <si>
    <t xml:space="preserve">Unit</t>
  </si>
  <si>
    <t xml:space="preserve">Price low ($)</t>
  </si>
  <si>
    <t xml:space="preserve">Price high ($)</t>
  </si>
  <si>
    <t xml:space="preserve">Price mid ($)</t>
  </si>
  <si>
    <t xml:space="preserve">Units / yr</t>
  </si>
  <si>
    <t xml:space="preserve">Revenue low ($)</t>
  </si>
  <si>
    <t xml:space="preserve">Revenue mid ($)</t>
  </si>
  <si>
    <t xml:space="preserve">Revenue high ($)</t>
  </si>
  <si>
    <t xml:space="preserve">Free</t>
  </si>
  <si>
    <t xml:space="preserve">Current workbench, stored in their own browser</t>
  </si>
  <si>
    <t xml:space="preserve">Pro (per evaluation)</t>
  </si>
  <si>
    <t xml:space="preserve">Cloud save, team scoring, branded PDF decision report, RFP generator</t>
  </si>
  <si>
    <t xml:space="preserve">per evaluation</t>
  </si>
  <si>
    <t xml:space="preserve">Done-with-you</t>
  </si>
  <si>
    <t xml:space="preserve">Fixed-fee selection: requirements, demo scripts, timed demos, cost model, recommendation</t>
  </si>
  <si>
    <t xml:space="preserve">per engagement</t>
  </si>
  <si>
    <t xml:space="preserve">Contract review</t>
  </si>
  <si>
    <t xml:space="preserve">Checklist + partner healthcare attorney (no legal advice from you)</t>
  </si>
  <si>
    <t xml:space="preserve">per referral</t>
  </si>
  <si>
    <t xml:space="preserve">White-label</t>
  </si>
  <si>
    <t xml:space="preserve">Consultants, MSOs, associations use it under their own brand</t>
  </si>
  <si>
    <t xml:space="preserve">per license / yr</t>
  </si>
  <si>
    <t xml:space="preserve">Total</t>
  </si>
  <si>
    <t xml:space="preserve">Next 30 days (from Oct 20, 2026)</t>
  </si>
  <si>
    <t xml:space="preserve">#</t>
  </si>
  <si>
    <t xml:space="preserve">Action</t>
  </si>
  <si>
    <t xml:space="preserve">Owner</t>
  </si>
  <si>
    <t xml:space="preserve">Due</t>
  </si>
  <si>
    <t xml:space="preserve">Status</t>
  </si>
  <si>
    <t xml:space="preserve">Notes</t>
  </si>
  <si>
    <t xml:space="preserve">Interview 10 practice managers: what triggered their last EHR switch, what went wrong, what they'd pay to avoid it</t>
  </si>
  <si>
    <t xml:space="preserve">Jopa</t>
  </si>
  <si>
    <t xml:space="preserve">Not started</t>
  </si>
  <si>
    <t xml:space="preserve">Run 3 free pilot selections in exchange for case studies and a testimonial</t>
  </si>
  <si>
    <t xml:space="preserve">Landing page in front of the workbench: email capture + 'Talk to me about your selection' CTA</t>
  </si>
  <si>
    <t xml:space="preserve">State clearly on the site: no patient data stored, no vendor money taken</t>
  </si>
  <si>
    <t xml:space="preserve">Yellow cells are yours to edit; Status has a dropdown.</t>
  </si>
  <si>
    <t xml:space="preserve">Sources</t>
  </si>
  <si>
    <t xml:space="preserve">Claim</t>
  </si>
  <si>
    <t xml:space="preserve">Source</t>
  </si>
  <si>
    <t xml:space="preserve">URL</t>
  </si>
  <si>
    <t xml:space="preserve">Review sites earn via pay-per-click and pay-per-lead; Software Advice matches buyers to ~5 vendors</t>
  </si>
  <si>
    <t xml:space="preserve">Bluelink ERP — How do software review sites work?</t>
  </si>
  <si>
    <t xml:space="preserve">https://www.bluelinkerp.com/blog/how-do-software-review-sites-work/</t>
  </si>
  <si>
    <t xml:space="preserve">Change-management consulting ~$15k–$40k</t>
  </si>
  <si>
    <t xml:space="preserve">CapMinds — EHR implementation consulting costs</t>
  </si>
  <si>
    <t xml:space="preserve">https://www.capminds.com/blog/ehr-implementation-consulting-costs-value-and-key-considerations-before-you-commit/</t>
  </si>
  <si>
    <t xml:space="preserve">AAFP has run an EHR selection program</t>
  </si>
  <si>
    <t xml:space="preserve">Medical Economics</t>
  </si>
  <si>
    <t xml:space="preserve">https://www.medicaleconomics.com/view/aafp-division-announces-ehr-selection-program</t>
  </si>
  <si>
    <t xml:space="preserve">Tier prices and unit counts</t>
  </si>
  <si>
    <t xml:space="preserve">Hypotheses from this analysis — validate in interviews and pilots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</si>
</sst>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yyyy\-mm\-dd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  <font>
      <u val="single"/>
      <sz val="11"/>
      <color rgb="FF0563C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2707D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D8EEF0"/>
        <bgColor rgb="FFD5DF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FE0"/>
      </left>
      <right style="thin">
        <color rgb="FFD5DFE0"/>
      </right>
      <top style="thin">
        <color rgb="FFD5DFE0"/>
      </top>
      <bottom style="thin">
        <color rgb="FFD5DF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2707D"/>
      <rgbColor rgb="FFC0C0C0"/>
      <rgbColor rgb="FF808080"/>
      <rgbColor rgb="FF9999FF"/>
      <rgbColor rgb="FF993366"/>
      <rgbColor rgb="FFFFFFCC"/>
      <rgbColor rgb="FFD8EEF0"/>
      <rgbColor rgb="FF660066"/>
      <rgbColor rgb="FFFF8080"/>
      <rgbColor rgb="FF0563C1"/>
      <rgbColor rgb="FFD5DF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bluelinkerp.com/blog/how-do-software-review-sites-work/" TargetMode="External"/><Relationship Id="rId2" Type="http://schemas.openxmlformats.org/officeDocument/2006/relationships/hyperlink" Target="https://www.capminds.com/blog/ehr-implementation-consulting-costs-value-and-key-considerations-before-you-commit/" TargetMode="External"/><Relationship Id="rId3" Type="http://schemas.openxmlformats.org/officeDocument/2006/relationships/hyperlink" Target="https://www.medicaleconomics.com/view/aafp-division-announces-ehr-selection-progra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</row>
    <row r="4" customFormat="false" ht="15" hidden="false" customHeight="false" outlineLevel="0" collapsed="false">
      <c r="A4" s="3" t="s">
        <v>3</v>
      </c>
      <c r="B4" s="3" t="s">
        <v>4</v>
      </c>
    </row>
    <row r="5" customFormat="false" ht="15" hidden="false" customHeight="false" outlineLevel="0" collapsed="false">
      <c r="A5" s="3" t="s">
        <v>5</v>
      </c>
      <c r="B5" s="3" t="s">
        <v>6</v>
      </c>
    </row>
    <row r="6" customFormat="false" ht="26.85" hidden="false" customHeight="false" outlineLevel="0" collapsed="false">
      <c r="A6" s="3" t="s">
        <v>7</v>
      </c>
      <c r="B6" s="3" t="s">
        <v>8</v>
      </c>
    </row>
    <row r="7" customFormat="false" ht="15" hidden="false" customHeight="false" outlineLevel="0" collapsed="false">
      <c r="A7" s="3" t="s">
        <v>9</v>
      </c>
      <c r="B7" s="3" t="s">
        <v>10</v>
      </c>
    </row>
    <row r="8" customFormat="false" ht="26.85" hidden="false" customHeight="false" outlineLevel="0" collapsed="false">
      <c r="A8" s="3" t="s">
        <v>11</v>
      </c>
      <c r="B8" s="3" t="s">
        <v>12</v>
      </c>
    </row>
    <row r="9" customFormat="false" ht="15" hidden="false" customHeight="false" outlineLevel="0" collapsed="false">
      <c r="A9" s="3" t="s">
        <v>13</v>
      </c>
      <c r="B9" s="3" t="s">
        <v>14</v>
      </c>
    </row>
    <row r="10" customFormat="false" ht="26.85" hidden="false" customHeight="false" outlineLevel="0" collapsed="false">
      <c r="A10" s="3" t="s">
        <v>15</v>
      </c>
      <c r="B10" s="3" t="s">
        <v>16</v>
      </c>
    </row>
    <row r="11" customFormat="false" ht="15" hidden="false" customHeight="false" outlineLevel="0" collapsed="false">
      <c r="A11" s="3" t="s">
        <v>17</v>
      </c>
      <c r="B11" s="3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8"/>
    <col collapsed="false" customWidth="true" hidden="false" outlineLevel="0" max="3" min="3" style="0" width="32"/>
    <col collapsed="false" customWidth="true" hidden="false" outlineLevel="0" max="4" min="4" style="0" width="40"/>
    <col collapsed="false" customWidth="true" hidden="false" outlineLevel="0" max="5" min="5" style="0" width="34"/>
  </cols>
  <sheetData>
    <row r="1" customFormat="false" ht="17.35" hidden="false" customHeight="false" outlineLevel="0" collapsed="false">
      <c r="A1" s="1" t="s">
        <v>19</v>
      </c>
    </row>
    <row r="3" customFormat="false" ht="15" hidden="false" customHeight="false" outlineLevel="0" collapsed="false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</row>
    <row r="4" customFormat="false" ht="26.85" hidden="false" customHeight="false" outlineLevel="0" collapsed="false">
      <c r="A4" s="3" t="s">
        <v>25</v>
      </c>
      <c r="B4" s="3" t="s">
        <v>26</v>
      </c>
      <c r="C4" s="3" t="s">
        <v>27</v>
      </c>
      <c r="D4" s="3" t="s">
        <v>28</v>
      </c>
      <c r="E4" s="3" t="s">
        <v>29</v>
      </c>
    </row>
    <row r="5" customFormat="false" ht="39.55" hidden="false" customHeight="false" outlineLevel="0" collapsed="false">
      <c r="A5" s="3" t="s">
        <v>30</v>
      </c>
      <c r="B5" s="3" t="s">
        <v>31</v>
      </c>
      <c r="C5" s="3" t="s">
        <v>32</v>
      </c>
      <c r="D5" s="3" t="s">
        <v>33</v>
      </c>
      <c r="E5" s="3" t="s">
        <v>34</v>
      </c>
    </row>
    <row r="6" customFormat="false" ht="26.85" hidden="false" customHeight="false" outlineLevel="0" collapsed="false">
      <c r="A6" s="3" t="s">
        <v>35</v>
      </c>
      <c r="B6" s="3" t="s">
        <v>36</v>
      </c>
      <c r="C6" s="3" t="s">
        <v>37</v>
      </c>
      <c r="D6" s="3" t="s">
        <v>38</v>
      </c>
      <c r="E6" s="3" t="s">
        <v>39</v>
      </c>
    </row>
    <row r="7" customFormat="false" ht="26.85" hidden="false" customHeight="false" outlineLevel="0" collapsed="false">
      <c r="A7" s="3" t="s">
        <v>40</v>
      </c>
      <c r="B7" s="3" t="s">
        <v>41</v>
      </c>
      <c r="C7" s="3" t="s">
        <v>42</v>
      </c>
      <c r="D7" s="3" t="s">
        <v>43</v>
      </c>
      <c r="E7" s="3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8"/>
    <col collapsed="false" customWidth="true" hidden="false" outlineLevel="0" max="3" min="3" style="0" width="18"/>
    <col collapsed="false" customWidth="true" hidden="false" outlineLevel="0" max="6" min="4" style="0" width="13"/>
    <col collapsed="false" customWidth="true" hidden="false" outlineLevel="0" max="7" min="7" style="0" width="11"/>
    <col collapsed="false" customWidth="true" hidden="false" outlineLevel="0" max="10" min="8" style="0" width="15"/>
  </cols>
  <sheetData>
    <row r="1" customFormat="false" ht="17.35" hidden="false" customHeight="false" outlineLevel="0" collapsed="false">
      <c r="A1" s="1" t="s">
        <v>45</v>
      </c>
    </row>
    <row r="2" customFormat="false" ht="15" hidden="false" customHeight="false" outlineLevel="0" collapsed="false">
      <c r="A2" s="4" t="s">
        <v>46</v>
      </c>
    </row>
    <row r="4" customFormat="false" ht="26.85" hidden="false" customHeight="false" outlineLevel="0" collapsed="false">
      <c r="A4" s="2" t="s">
        <v>47</v>
      </c>
      <c r="B4" s="2" t="s">
        <v>48</v>
      </c>
      <c r="C4" s="2" t="s">
        <v>49</v>
      </c>
      <c r="D4" s="2" t="s">
        <v>50</v>
      </c>
      <c r="E4" s="2" t="s">
        <v>51</v>
      </c>
      <c r="F4" s="2" t="s">
        <v>52</v>
      </c>
      <c r="G4" s="2" t="s">
        <v>53</v>
      </c>
      <c r="H4" s="2" t="s">
        <v>54</v>
      </c>
      <c r="I4" s="2" t="s">
        <v>55</v>
      </c>
      <c r="J4" s="2" t="s">
        <v>56</v>
      </c>
    </row>
    <row r="5" customFormat="false" ht="15" hidden="false" customHeight="false" outlineLevel="0" collapsed="false">
      <c r="A5" s="3" t="s">
        <v>57</v>
      </c>
      <c r="B5" s="3" t="s">
        <v>58</v>
      </c>
      <c r="C5" s="3" t="s">
        <v>42</v>
      </c>
      <c r="D5" s="5" t="n">
        <v>0</v>
      </c>
      <c r="E5" s="5" t="n">
        <v>0</v>
      </c>
      <c r="F5" s="6" t="n">
        <f aca="false">AVERAGE(D5:E5)</f>
        <v>0</v>
      </c>
      <c r="G5" s="7" t="n">
        <v>0</v>
      </c>
      <c r="H5" s="6" t="n">
        <f aca="false">D5*G5</f>
        <v>0</v>
      </c>
      <c r="I5" s="6" t="n">
        <f aca="false">F5*G5</f>
        <v>0</v>
      </c>
      <c r="J5" s="6" t="n">
        <f aca="false">E5*G5</f>
        <v>0</v>
      </c>
    </row>
    <row r="6" customFormat="false" ht="26.85" hidden="false" customHeight="false" outlineLevel="0" collapsed="false">
      <c r="A6" s="3" t="s">
        <v>59</v>
      </c>
      <c r="B6" s="3" t="s">
        <v>60</v>
      </c>
      <c r="C6" s="3" t="s">
        <v>61</v>
      </c>
      <c r="D6" s="5" t="n">
        <v>299</v>
      </c>
      <c r="E6" s="5" t="n">
        <v>799</v>
      </c>
      <c r="F6" s="6" t="n">
        <f aca="false">AVERAGE(D6:E6)</f>
        <v>549</v>
      </c>
      <c r="G6" s="7" t="n">
        <v>20</v>
      </c>
      <c r="H6" s="6" t="n">
        <f aca="false">D6*G6</f>
        <v>5980</v>
      </c>
      <c r="I6" s="6" t="n">
        <f aca="false">F6*G6</f>
        <v>10980</v>
      </c>
      <c r="J6" s="6" t="n">
        <f aca="false">E6*G6</f>
        <v>15980</v>
      </c>
    </row>
    <row r="7" customFormat="false" ht="26.85" hidden="false" customHeight="false" outlineLevel="0" collapsed="false">
      <c r="A7" s="3" t="s">
        <v>62</v>
      </c>
      <c r="B7" s="3" t="s">
        <v>63</v>
      </c>
      <c r="C7" s="3" t="s">
        <v>64</v>
      </c>
      <c r="D7" s="5" t="n">
        <v>5000</v>
      </c>
      <c r="E7" s="5" t="n">
        <v>15000</v>
      </c>
      <c r="F7" s="6" t="n">
        <f aca="false">AVERAGE(D7:E7)</f>
        <v>10000</v>
      </c>
      <c r="G7" s="7" t="n">
        <v>4</v>
      </c>
      <c r="H7" s="6" t="n">
        <f aca="false">D7*G7</f>
        <v>20000</v>
      </c>
      <c r="I7" s="6" t="n">
        <f aca="false">F7*G7</f>
        <v>40000</v>
      </c>
      <c r="J7" s="6" t="n">
        <f aca="false">E7*G7</f>
        <v>60000</v>
      </c>
    </row>
    <row r="8" customFormat="false" ht="26.85" hidden="false" customHeight="false" outlineLevel="0" collapsed="false">
      <c r="A8" s="3" t="s">
        <v>65</v>
      </c>
      <c r="B8" s="3" t="s">
        <v>66</v>
      </c>
      <c r="C8" s="3" t="s">
        <v>67</v>
      </c>
      <c r="D8" s="5" t="n">
        <v>0</v>
      </c>
      <c r="E8" s="5" t="n">
        <v>0</v>
      </c>
      <c r="F8" s="6" t="n">
        <f aca="false">AVERAGE(D8:E8)</f>
        <v>0</v>
      </c>
      <c r="G8" s="7" t="n">
        <v>0</v>
      </c>
      <c r="H8" s="6" t="n">
        <f aca="false">D8*G8</f>
        <v>0</v>
      </c>
      <c r="I8" s="6" t="n">
        <f aca="false">F8*G8</f>
        <v>0</v>
      </c>
      <c r="J8" s="6" t="n">
        <f aca="false">E8*G8</f>
        <v>0</v>
      </c>
    </row>
    <row r="9" customFormat="false" ht="26.85" hidden="false" customHeight="false" outlineLevel="0" collapsed="false">
      <c r="A9" s="3" t="s">
        <v>68</v>
      </c>
      <c r="B9" s="3" t="s">
        <v>69</v>
      </c>
      <c r="C9" s="3" t="s">
        <v>70</v>
      </c>
      <c r="D9" s="5" t="n">
        <v>1000</v>
      </c>
      <c r="E9" s="5" t="n">
        <v>5000</v>
      </c>
      <c r="F9" s="6" t="n">
        <f aca="false">AVERAGE(D9:E9)</f>
        <v>3000</v>
      </c>
      <c r="G9" s="7" t="n">
        <v>3</v>
      </c>
      <c r="H9" s="6" t="n">
        <f aca="false">D9*G9</f>
        <v>3000</v>
      </c>
      <c r="I9" s="6" t="n">
        <f aca="false">F9*G9</f>
        <v>9000</v>
      </c>
      <c r="J9" s="6" t="n">
        <f aca="false">E9*G9</f>
        <v>15000</v>
      </c>
    </row>
    <row r="10" customFormat="false" ht="15" hidden="false" customHeight="false" outlineLevel="0" collapsed="false">
      <c r="A10" s="8" t="s">
        <v>71</v>
      </c>
      <c r="B10" s="9"/>
      <c r="C10" s="9"/>
      <c r="D10" s="9"/>
      <c r="E10" s="9"/>
      <c r="F10" s="9"/>
      <c r="G10" s="9"/>
      <c r="H10" s="10" t="n">
        <f aca="false">SUM(H5:H9)</f>
        <v>28980</v>
      </c>
      <c r="I10" s="10" t="n">
        <f aca="false">SUM(I5:I9)</f>
        <v>59980</v>
      </c>
      <c r="J10" s="10" t="n">
        <f aca="false">SUM(J5:J9)</f>
        <v>90980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0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1" t="s">
        <v>72</v>
      </c>
    </row>
    <row r="3" customFormat="false" ht="15" hidden="false" customHeight="false" outlineLevel="0" collapsed="false">
      <c r="A3" s="2" t="s">
        <v>73</v>
      </c>
      <c r="B3" s="2" t="s">
        <v>74</v>
      </c>
      <c r="C3" s="2" t="s">
        <v>75</v>
      </c>
      <c r="D3" s="2" t="s">
        <v>76</v>
      </c>
      <c r="E3" s="2" t="s">
        <v>77</v>
      </c>
      <c r="F3" s="2" t="s">
        <v>78</v>
      </c>
    </row>
    <row r="4" customFormat="false" ht="26.85" hidden="false" customHeight="false" outlineLevel="0" collapsed="false">
      <c r="A4" s="3" t="n">
        <v>1</v>
      </c>
      <c r="B4" s="3" t="s">
        <v>79</v>
      </c>
      <c r="C4" s="7" t="s">
        <v>80</v>
      </c>
      <c r="D4" s="11" t="n">
        <v>46329</v>
      </c>
      <c r="E4" s="7" t="s">
        <v>81</v>
      </c>
      <c r="F4" s="7"/>
    </row>
    <row r="5" customFormat="false" ht="15" hidden="false" customHeight="false" outlineLevel="0" collapsed="false">
      <c r="A5" s="3" t="n">
        <v>2</v>
      </c>
      <c r="B5" s="3" t="s">
        <v>82</v>
      </c>
      <c r="C5" s="7" t="s">
        <v>80</v>
      </c>
      <c r="D5" s="11" t="n">
        <v>46345</v>
      </c>
      <c r="E5" s="7" t="s">
        <v>81</v>
      </c>
      <c r="F5" s="7"/>
    </row>
    <row r="6" customFormat="false" ht="26.85" hidden="false" customHeight="false" outlineLevel="0" collapsed="false">
      <c r="A6" s="3" t="n">
        <v>3</v>
      </c>
      <c r="B6" s="3" t="s">
        <v>83</v>
      </c>
      <c r="C6" s="7" t="s">
        <v>80</v>
      </c>
      <c r="D6" s="11" t="n">
        <v>46325</v>
      </c>
      <c r="E6" s="7" t="s">
        <v>81</v>
      </c>
      <c r="F6" s="7"/>
    </row>
    <row r="7" customFormat="false" ht="15" hidden="false" customHeight="false" outlineLevel="0" collapsed="false">
      <c r="A7" s="3" t="n">
        <v>4</v>
      </c>
      <c r="B7" s="3" t="s">
        <v>84</v>
      </c>
      <c r="C7" s="7" t="s">
        <v>80</v>
      </c>
      <c r="D7" s="11" t="n">
        <v>46325</v>
      </c>
      <c r="E7" s="7" t="s">
        <v>81</v>
      </c>
      <c r="F7" s="7"/>
    </row>
    <row r="9" customFormat="false" ht="15" hidden="false" customHeight="false" outlineLevel="0" collapsed="false">
      <c r="A9" s="4" t="s">
        <v>85</v>
      </c>
    </row>
  </sheetData>
  <dataValidations count="1">
    <dataValidation allowBlank="true" errorStyle="stop" operator="between" showDropDown="false" showErrorMessage="false" showInputMessage="false" sqref="E4:E7" type="list">
      <formula1>"Not started,In progress,Done,Blocked"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50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1" t="s">
        <v>86</v>
      </c>
    </row>
    <row r="3" customFormat="false" ht="15" hidden="false" customHeight="false" outlineLevel="0" collapsed="false">
      <c r="A3" s="2" t="s">
        <v>87</v>
      </c>
      <c r="B3" s="2" t="s">
        <v>88</v>
      </c>
      <c r="C3" s="2" t="s">
        <v>89</v>
      </c>
    </row>
    <row r="4" customFormat="false" ht="26.85" hidden="false" customHeight="false" outlineLevel="0" collapsed="false">
      <c r="A4" s="3" t="s">
        <v>90</v>
      </c>
      <c r="B4" s="3" t="s">
        <v>91</v>
      </c>
      <c r="C4" s="12" t="s">
        <v>92</v>
      </c>
    </row>
    <row r="5" customFormat="false" ht="15" hidden="false" customHeight="false" outlineLevel="0" collapsed="false">
      <c r="A5" s="3" t="s">
        <v>93</v>
      </c>
      <c r="B5" s="3" t="s">
        <v>94</v>
      </c>
      <c r="C5" s="12" t="s">
        <v>95</v>
      </c>
    </row>
    <row r="6" customFormat="false" ht="15" hidden="false" customHeight="false" outlineLevel="0" collapsed="false">
      <c r="A6" s="3" t="s">
        <v>96</v>
      </c>
      <c r="B6" s="3" t="s">
        <v>97</v>
      </c>
      <c r="C6" s="12" t="s">
        <v>98</v>
      </c>
    </row>
    <row r="7" customFormat="false" ht="26.85" hidden="false" customHeight="false" outlineLevel="0" collapsed="false">
      <c r="A7" s="3" t="s">
        <v>99</v>
      </c>
      <c r="B7" s="3" t="s">
        <v>100</v>
      </c>
      <c r="C7" s="3" t="s">
        <v>42</v>
      </c>
    </row>
  </sheetData>
  <hyperlinks>
    <hyperlink ref="C4" r:id="rId1" display="https://www.bluelinkerp.com/blog/how-do-software-review-sites-work/"/>
    <hyperlink ref="C5" r:id="rId2" display="https://www.capminds.com/blog/ehr-implementation-consulting-costs-value-and-key-considerations-before-you-commit/"/>
    <hyperlink ref="C6" r:id="rId3" display="https://www.medicaleconomics.com/view/aafp-division-announces-ehr-selection-progra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2026-10-20T20:14:33Z</dcterms:created>
  <dc:creator>openpyxl</dc:creator>
  <dc:description/>
  <dc:language>en-US</dc:language>
  <cp:lastModifiedBy/>
  <dcterms:modified xsi:type="dcterms:W3CDTF">2026-10-20T20:14:33Z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